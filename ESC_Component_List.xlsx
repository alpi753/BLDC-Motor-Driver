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C:\Users\alper\Desktop\UNİ_DERS\bitirme_projesi\New folder\BLDC-Motor-Driver\"/>
    </mc:Choice>
  </mc:AlternateContent>
  <xr:revisionPtr revIDLastSave="0" documentId="13_ncr:1_{D0A3D51A-93C2-4B0D-9FF0-01C2B1DFC266}" xr6:coauthVersionLast="47" xr6:coauthVersionMax="47" xr10:uidLastSave="{00000000-0000-0000-0000-000000000000}"/>
  <bookViews>
    <workbookView xWindow="-120" yWindow="-120" windowWidth="29040" windowHeight="16440" tabRatio="50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I38" i="1" l="1"/>
  <c r="I37" i="1"/>
  <c r="I36" i="1"/>
</calcChain>
</file>

<file path=xl/sharedStrings.xml><?xml version="1.0" encoding="utf-8"?>
<sst xmlns="http://schemas.openxmlformats.org/spreadsheetml/2006/main" count="113" uniqueCount="113">
  <si>
    <t>Digi-Key: Shopping Cart</t>
  </si>
  <si>
    <t>Index</t>
  </si>
  <si>
    <t>Quantity</t>
  </si>
  <si>
    <t>Part Number</t>
  </si>
  <si>
    <t>Manufacturer Part Number</t>
  </si>
  <si>
    <t>Description</t>
  </si>
  <si>
    <t>Customer Reference</t>
  </si>
  <si>
    <t>Available</t>
  </si>
  <si>
    <t>Backorder</t>
  </si>
  <si>
    <t>Unit Price</t>
  </si>
  <si>
    <t>Extended Price USD</t>
  </si>
  <si>
    <t>296-47769-1-ND</t>
  </si>
  <si>
    <t>DRV8323RSRGZR</t>
  </si>
  <si>
    <t>IC MTR DRV MULTIPHAS 6-60V 48QFN</t>
  </si>
  <si>
    <t>497-19475-ND</t>
  </si>
  <si>
    <t>STM32G431CBU6</t>
  </si>
  <si>
    <t>IC MCU 32BIT 128KB FLSH 48UFQFPN</t>
  </si>
  <si>
    <t>1276-1513-1-ND</t>
  </si>
  <si>
    <t>CL05B105KQ5NQNC</t>
  </si>
  <si>
    <t>CAP CER 1UF 6.3V X7R 0402</t>
  </si>
  <si>
    <t>1276-6807-1-ND</t>
  </si>
  <si>
    <t>CL10B104KC8NNNC</t>
  </si>
  <si>
    <t>CAP CER 0.1UF 100V X7R 0603</t>
  </si>
  <si>
    <t>399-C0603C105K4RACTUCT-ND</t>
  </si>
  <si>
    <t>C0603C105K4RACTU</t>
  </si>
  <si>
    <t>CAP CER 1UF 16V X7R 0603</t>
  </si>
  <si>
    <t>1276-6526-1-ND</t>
  </si>
  <si>
    <t>CL21A226KOQNNNE</t>
  </si>
  <si>
    <t>CAP CER 22UF 16V X5R 0805</t>
  </si>
  <si>
    <t>SS18CT-ND</t>
  </si>
  <si>
    <t>SS18</t>
  </si>
  <si>
    <t>DIODE SCHOTTKY 80V 1A DO214AC</t>
  </si>
  <si>
    <t>RMCF0603ZT0R00CT-ND</t>
  </si>
  <si>
    <t>RMCF0603ZT0R00</t>
  </si>
  <si>
    <t>RES 0 OHM JUMPER 1/10W 0603</t>
  </si>
  <si>
    <t>311-2.2HRCT-ND</t>
  </si>
  <si>
    <t>RC0603FR-072R2L</t>
  </si>
  <si>
    <t>RES 2.2 OHM 1% 1/10W 0603</t>
  </si>
  <si>
    <t>311-4.7GRCT-ND</t>
  </si>
  <si>
    <t>RC0603JR-074R7L</t>
  </si>
  <si>
    <t>RES 4.7 OHM 5% 1/10W 0603</t>
  </si>
  <si>
    <t>587-2952-1-ND</t>
  </si>
  <si>
    <t>NRS6045T220MMGK</t>
  </si>
  <si>
    <t>FIXED IND 22UH 1.6A 139.1MOHM SM</t>
  </si>
  <si>
    <t>478-08056D104KAT2ACT-ND</t>
  </si>
  <si>
    <t>08056D104KAT2A</t>
  </si>
  <si>
    <t>CAP CER 0.1UF 6.3V X5R 0805</t>
  </si>
  <si>
    <t>311-10.0KHRCT-ND</t>
  </si>
  <si>
    <t>RC0603FR-0710KL</t>
  </si>
  <si>
    <t>RES 10K OHM 1% 1/10W 0603</t>
  </si>
  <si>
    <t>311-100KHRCT-ND</t>
  </si>
  <si>
    <t>RC0603FR-07100KL</t>
  </si>
  <si>
    <t>RES 100K OHM 1% 1/10W 0603</t>
  </si>
  <si>
    <t>RNCP0603FTD1K00CT-ND</t>
  </si>
  <si>
    <t>RNCP0603FTD1K00</t>
  </si>
  <si>
    <t>RES 1K OHM 1% 1/8W 0603</t>
  </si>
  <si>
    <t>311-3.30KHRCT-ND</t>
  </si>
  <si>
    <t>RC0603FR-073K3L</t>
  </si>
  <si>
    <t>RES 3.3K OHM 1% 1/10W 0603</t>
  </si>
  <si>
    <t>1189-1701-1-ND</t>
  </si>
  <si>
    <t>80ZLJ680MGC18X25</t>
  </si>
  <si>
    <t>CAP ALUM 680UF 20% 80V RADIAL TH</t>
  </si>
  <si>
    <t>311-4.70KHRCT-ND</t>
  </si>
  <si>
    <t>RC0603FR-074K7L</t>
  </si>
  <si>
    <t>RES 4.7K OHM 1% 1/10W 0603</t>
  </si>
  <si>
    <t>RMCF0603FT91K0CT-ND</t>
  </si>
  <si>
    <t>RMCF0603FT91K0</t>
  </si>
  <si>
    <t>RES 91K OHM 1% 1/10W 0603</t>
  </si>
  <si>
    <t>1276-CL10B103KO8WPNCCT-ND</t>
  </si>
  <si>
    <t>CL10B103KO8WPNC</t>
  </si>
  <si>
    <t>CAP CER 10NF 16V X7R 0603</t>
  </si>
  <si>
    <t>31-AP64500SP-13CT-ND</t>
  </si>
  <si>
    <t>AP64500SP-13</t>
  </si>
  <si>
    <t>IC REG BUCK ADJ 5A 8SO</t>
  </si>
  <si>
    <t>P47KGCT-ND</t>
  </si>
  <si>
    <t>ERJ-3GEYJ473V</t>
  </si>
  <si>
    <t>RES SMD 47K OHM 5% 1/10W 0603</t>
  </si>
  <si>
    <t>490-GRM21BD72A225KE01LCT-ND</t>
  </si>
  <si>
    <t>GRM21BD72A225KE01L</t>
  </si>
  <si>
    <t>CAP CER 2.2UF 100V X7T 0805</t>
  </si>
  <si>
    <t>553-BWVS00505040220M00CT-ND</t>
  </si>
  <si>
    <t>BWVS00505040220M00</t>
  </si>
  <si>
    <t>FIXED IND 22UH 1.4A 135 MOHM SMD</t>
  </si>
  <si>
    <t>XC2076CT-ND</t>
  </si>
  <si>
    <t>ECS-80-20-5PX-TR</t>
  </si>
  <si>
    <t>CRYSTAL 8.0000MHZ 20PF SMD</t>
  </si>
  <si>
    <t>BZT52C3V3-E3-08GICT-ND</t>
  </si>
  <si>
    <t>BZT52C3V3-E3-08</t>
  </si>
  <si>
    <t>DIODE ZENER 3.3V 410MW SOD123</t>
  </si>
  <si>
    <t>296-44212-1-ND</t>
  </si>
  <si>
    <t>TCAN337DR</t>
  </si>
  <si>
    <t>IC TRANSCEIVER 1/1 8SOIC</t>
  </si>
  <si>
    <t>P12011CT-ND</t>
  </si>
  <si>
    <t>ERT-J1VG103FA</t>
  </si>
  <si>
    <t>THERMISTOR NTC 10KOHM 3380K 0603</t>
  </si>
  <si>
    <t>CRF2512-FZ-R002ELFCT-ND</t>
  </si>
  <si>
    <t>CRF2512-FZ-R002ELF</t>
  </si>
  <si>
    <t>RES 0.002 OHM 1% 2W 2512</t>
  </si>
  <si>
    <t>311-5.6KDCT-ND</t>
  </si>
  <si>
    <t>RT0603DRD075K6L</t>
  </si>
  <si>
    <t>RES SMD 5.6K OHM 0.5% 1/10W 0603</t>
  </si>
  <si>
    <t>MMSZ3V3T1GOSCT-ND</t>
  </si>
  <si>
    <t>MMSZ3V3T1G</t>
  </si>
  <si>
    <t>DIODE ZENER 3.3V 500MW SOD123</t>
  </si>
  <si>
    <t>2223-TS04-66-73-BK-260-SMT-ND</t>
  </si>
  <si>
    <t>TS04-66-73-BK-260-SMT</t>
  </si>
  <si>
    <t>SWITCH TACTILE SPST-NO 0.05A 12V</t>
  </si>
  <si>
    <t>732-7817-1-ND</t>
  </si>
  <si>
    <t>CAP CER 33PF 16V C0G/NP0 0805</t>
  </si>
  <si>
    <t>https://www.direnc.net/1uf-16v-10-x5r-603-smd-kondansator</t>
  </si>
  <si>
    <t>1uF 6.3V 10% x5R 603 SMD Kondansatör</t>
  </si>
  <si>
    <t>1uF 16V 10% x5R 603 SMD Kondansatör</t>
  </si>
  <si>
    <t>  100nF 50V 10% x7R 805 SMD Kondansatör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</si>
</sst>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libri"/>
    </font>
    <font>
      <b/>
      <sz val="11"/>
      <name val="Calibri"/>
    </font>
    <font>
      <u/>
      <sz val="11"/>
      <color theme="1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1" fontId="0" fillId="0" borderId="0" xfId="0" applyNumberFormat="1"/>
    <xf numFmtId="2" fontId="0" fillId="0" borderId="0" xfId="0" applyNumberFormat="1"/>
    <xf numFmtId="0" fontId="0" fillId="0" borderId="0" xfId="0" applyAlignment="1">
      <alignment horizontal="center"/>
    </xf>
    <xf numFmtId="0" fontId="0" fillId="0" borderId="0" xfId="0"/>
    <xf numFmtId="0" fontId="2" fillId="0" borderId="0" xfId="1"/>
  </cellXfs>
  <cellStyles count="2">
    <cellStyle name="Köprü" xfId="1" builtinId="8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irenc.net/100nf50v-805-kilif" TargetMode="External"/><Relationship Id="rId1" Type="http://schemas.openxmlformats.org/officeDocument/2006/relationships/hyperlink" Target="https://www.direnc.net/1uf-50v-10-603-smd-kondansato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8"/>
  <sheetViews>
    <sheetView tabSelected="1" workbookViewId="0">
      <selection activeCell="M21" sqref="M21"/>
    </sheetView>
  </sheetViews>
  <sheetFormatPr defaultRowHeight="15" x14ac:dyDescent="0.25"/>
  <cols>
    <col min="1" max="1" width="6.7109375" customWidth="1"/>
    <col min="2" max="2" width="10.85546875" customWidth="1"/>
    <col min="3" max="3" width="39.140625" customWidth="1"/>
    <col min="4" max="4" width="32.42578125" customWidth="1"/>
    <col min="5" max="5" width="43.140625" customWidth="1"/>
    <col min="6" max="6" width="24.28515625" customWidth="1"/>
    <col min="7" max="8" width="12.140625" customWidth="1"/>
    <col min="9" max="9" width="13.42578125" customWidth="1"/>
    <col min="10" max="10" width="24.28515625" customWidth="1"/>
  </cols>
  <sheetData>
    <row r="1" spans="1:10" x14ac:dyDescent="0.25">
      <c r="A1" s="4" t="s">
        <v>0</v>
      </c>
      <c r="B1" s="5"/>
      <c r="C1" s="5"/>
      <c r="D1" s="5"/>
      <c r="E1" s="5"/>
      <c r="F1" s="5"/>
      <c r="G1" s="5"/>
      <c r="H1" s="5"/>
      <c r="I1" s="5"/>
      <c r="J1" s="5"/>
    </row>
    <row r="2" spans="1:10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</row>
    <row r="3" spans="1:10" x14ac:dyDescent="0.25">
      <c r="A3" s="2">
        <v>1</v>
      </c>
      <c r="B3" s="2">
        <v>1</v>
      </c>
      <c r="C3" t="s">
        <v>11</v>
      </c>
      <c r="D3" t="s">
        <v>12</v>
      </c>
      <c r="E3" t="s">
        <v>13</v>
      </c>
      <c r="G3" s="2">
        <v>1</v>
      </c>
      <c r="H3" s="2">
        <v>0</v>
      </c>
      <c r="I3">
        <v>4.53</v>
      </c>
      <c r="J3" s="3">
        <v>4.53</v>
      </c>
    </row>
    <row r="4" spans="1:10" x14ac:dyDescent="0.25">
      <c r="A4" s="2">
        <v>2</v>
      </c>
      <c r="B4" s="2">
        <v>1</v>
      </c>
      <c r="C4" t="s">
        <v>14</v>
      </c>
      <c r="D4" t="s">
        <v>15</v>
      </c>
      <c r="E4" t="s">
        <v>16</v>
      </c>
      <c r="G4" s="2">
        <v>1</v>
      </c>
      <c r="H4" s="2">
        <v>0</v>
      </c>
      <c r="I4">
        <v>5.0599999999999996</v>
      </c>
      <c r="J4" s="3">
        <v>5.0599999999999996</v>
      </c>
    </row>
    <row r="5" spans="1:10" x14ac:dyDescent="0.25">
      <c r="A5" s="2">
        <v>3</v>
      </c>
      <c r="B5" s="2">
        <v>10</v>
      </c>
      <c r="C5" t="s">
        <v>17</v>
      </c>
      <c r="D5" t="s">
        <v>18</v>
      </c>
      <c r="E5" t="s">
        <v>19</v>
      </c>
      <c r="G5" s="2">
        <v>10</v>
      </c>
      <c r="H5" s="2">
        <v>0</v>
      </c>
      <c r="I5">
        <v>7.6999999999999999E-2</v>
      </c>
      <c r="J5" s="3">
        <v>0.77</v>
      </c>
    </row>
    <row r="6" spans="1:10" x14ac:dyDescent="0.25">
      <c r="A6" s="2">
        <v>4</v>
      </c>
      <c r="B6" s="2">
        <v>10</v>
      </c>
      <c r="C6" t="s">
        <v>20</v>
      </c>
      <c r="D6" t="s">
        <v>21</v>
      </c>
      <c r="E6" t="s">
        <v>22</v>
      </c>
      <c r="G6" s="2">
        <v>10</v>
      </c>
      <c r="H6" s="2">
        <v>0</v>
      </c>
      <c r="I6">
        <v>4.8000000000000001E-2</v>
      </c>
      <c r="J6" s="3">
        <v>0.48</v>
      </c>
    </row>
    <row r="7" spans="1:10" x14ac:dyDescent="0.25">
      <c r="A7" s="2">
        <v>5</v>
      </c>
      <c r="B7" s="2">
        <v>25</v>
      </c>
      <c r="C7" t="s">
        <v>23</v>
      </c>
      <c r="D7" t="s">
        <v>24</v>
      </c>
      <c r="E7" t="s">
        <v>25</v>
      </c>
      <c r="G7" s="2">
        <v>25</v>
      </c>
      <c r="H7" s="2">
        <v>0</v>
      </c>
      <c r="I7">
        <v>1.0999999999999999E-2</v>
      </c>
      <c r="J7" s="3">
        <v>0.28000000000000003</v>
      </c>
    </row>
    <row r="8" spans="1:10" x14ac:dyDescent="0.25">
      <c r="A8" s="2">
        <v>6</v>
      </c>
      <c r="B8" s="2">
        <v>10</v>
      </c>
      <c r="C8" t="s">
        <v>26</v>
      </c>
      <c r="D8" t="s">
        <v>27</v>
      </c>
      <c r="E8" t="s">
        <v>28</v>
      </c>
      <c r="G8" s="2">
        <v>10</v>
      </c>
      <c r="H8" s="2">
        <v>0</v>
      </c>
      <c r="I8">
        <v>0.20899999999999999</v>
      </c>
      <c r="J8" s="3">
        <v>2.09</v>
      </c>
    </row>
    <row r="9" spans="1:10" x14ac:dyDescent="0.25">
      <c r="A9" s="2">
        <v>7</v>
      </c>
      <c r="B9" s="2">
        <v>2</v>
      </c>
      <c r="C9" t="s">
        <v>29</v>
      </c>
      <c r="D9" t="s">
        <v>30</v>
      </c>
      <c r="E9" t="s">
        <v>31</v>
      </c>
      <c r="G9" s="2">
        <v>2</v>
      </c>
      <c r="H9" s="2">
        <v>0</v>
      </c>
      <c r="I9">
        <v>0.18</v>
      </c>
      <c r="J9" s="3">
        <v>0.36</v>
      </c>
    </row>
    <row r="10" spans="1:10" x14ac:dyDescent="0.25">
      <c r="A10" s="2">
        <v>8</v>
      </c>
      <c r="B10" s="2">
        <v>10</v>
      </c>
      <c r="C10" t="s">
        <v>32</v>
      </c>
      <c r="D10" t="s">
        <v>33</v>
      </c>
      <c r="E10" t="s">
        <v>34</v>
      </c>
      <c r="G10" s="2">
        <v>10</v>
      </c>
      <c r="H10" s="2">
        <v>0</v>
      </c>
      <c r="I10">
        <v>6.0000000000000001E-3</v>
      </c>
      <c r="J10" s="3">
        <v>0.06</v>
      </c>
    </row>
    <row r="11" spans="1:10" x14ac:dyDescent="0.25">
      <c r="A11" s="2">
        <v>9</v>
      </c>
      <c r="B11" s="2">
        <v>10</v>
      </c>
      <c r="C11" t="s">
        <v>35</v>
      </c>
      <c r="D11" t="s">
        <v>36</v>
      </c>
      <c r="E11" t="s">
        <v>37</v>
      </c>
      <c r="G11" s="2">
        <v>10</v>
      </c>
      <c r="H11" s="2">
        <v>0</v>
      </c>
      <c r="I11">
        <v>1.0999999999999999E-2</v>
      </c>
      <c r="J11" s="3">
        <v>0.11</v>
      </c>
    </row>
    <row r="12" spans="1:10" x14ac:dyDescent="0.25">
      <c r="A12" s="2">
        <v>10</v>
      </c>
      <c r="B12" s="2">
        <v>10</v>
      </c>
      <c r="C12" t="s">
        <v>38</v>
      </c>
      <c r="D12" t="s">
        <v>39</v>
      </c>
      <c r="E12" t="s">
        <v>40</v>
      </c>
      <c r="G12" s="2">
        <v>10</v>
      </c>
      <c r="H12" s="2">
        <v>0</v>
      </c>
      <c r="I12">
        <v>0.01</v>
      </c>
      <c r="J12" s="3">
        <v>0.1</v>
      </c>
    </row>
    <row r="13" spans="1:10" x14ac:dyDescent="0.25">
      <c r="A13" s="2">
        <v>11</v>
      </c>
      <c r="B13" s="2">
        <v>2</v>
      </c>
      <c r="C13" t="s">
        <v>41</v>
      </c>
      <c r="D13" t="s">
        <v>42</v>
      </c>
      <c r="E13" t="s">
        <v>43</v>
      </c>
      <c r="G13" s="2">
        <v>2</v>
      </c>
      <c r="H13" s="2">
        <v>0</v>
      </c>
      <c r="I13">
        <v>0.26</v>
      </c>
      <c r="J13" s="3">
        <v>0.52</v>
      </c>
    </row>
    <row r="14" spans="1:10" x14ac:dyDescent="0.25">
      <c r="A14" s="2">
        <v>12</v>
      </c>
      <c r="B14" s="2">
        <v>10</v>
      </c>
      <c r="C14" t="s">
        <v>44</v>
      </c>
      <c r="D14" t="s">
        <v>45</v>
      </c>
      <c r="E14" t="s">
        <v>46</v>
      </c>
      <c r="G14" s="2">
        <v>10</v>
      </c>
      <c r="H14" s="2">
        <v>0</v>
      </c>
      <c r="I14">
        <v>4.4999999999999998E-2</v>
      </c>
      <c r="J14" s="3">
        <v>0.45</v>
      </c>
    </row>
    <row r="15" spans="1:10" x14ac:dyDescent="0.25">
      <c r="A15" s="2">
        <v>13</v>
      </c>
      <c r="B15" s="2">
        <v>25</v>
      </c>
      <c r="C15" t="s">
        <v>47</v>
      </c>
      <c r="D15" t="s">
        <v>48</v>
      </c>
      <c r="E15" t="s">
        <v>49</v>
      </c>
      <c r="G15" s="2">
        <v>25</v>
      </c>
      <c r="H15" s="2">
        <v>0</v>
      </c>
      <c r="I15">
        <v>5.5999999999999999E-3</v>
      </c>
      <c r="J15" s="3">
        <v>0.14000000000000001</v>
      </c>
    </row>
    <row r="16" spans="1:10" x14ac:dyDescent="0.25">
      <c r="A16" s="2">
        <v>14</v>
      </c>
      <c r="B16" s="2">
        <v>25</v>
      </c>
      <c r="C16" t="s">
        <v>50</v>
      </c>
      <c r="D16" t="s">
        <v>51</v>
      </c>
      <c r="E16" t="s">
        <v>52</v>
      </c>
      <c r="G16" s="2">
        <v>25</v>
      </c>
      <c r="H16" s="2">
        <v>0</v>
      </c>
      <c r="I16">
        <v>5.5999999999999999E-3</v>
      </c>
      <c r="J16" s="3">
        <v>0.14000000000000001</v>
      </c>
    </row>
    <row r="17" spans="1:10" x14ac:dyDescent="0.25">
      <c r="A17" s="2">
        <v>15</v>
      </c>
      <c r="B17" s="2">
        <v>25</v>
      </c>
      <c r="C17" t="s">
        <v>53</v>
      </c>
      <c r="D17" t="s">
        <v>54</v>
      </c>
      <c r="E17" t="s">
        <v>55</v>
      </c>
      <c r="G17" s="2">
        <v>25</v>
      </c>
      <c r="H17" s="2">
        <v>0</v>
      </c>
      <c r="I17">
        <v>1.0800000000000001E-2</v>
      </c>
      <c r="J17" s="3">
        <v>0.27</v>
      </c>
    </row>
    <row r="18" spans="1:10" x14ac:dyDescent="0.25">
      <c r="A18" s="2">
        <v>16</v>
      </c>
      <c r="B18" s="2">
        <v>25</v>
      </c>
      <c r="C18" t="s">
        <v>56</v>
      </c>
      <c r="D18" t="s">
        <v>57</v>
      </c>
      <c r="E18" t="s">
        <v>58</v>
      </c>
      <c r="G18" s="2">
        <v>25</v>
      </c>
      <c r="H18" s="2">
        <v>0</v>
      </c>
      <c r="I18">
        <v>8.8000000000000005E-3</v>
      </c>
      <c r="J18" s="3">
        <v>0.22</v>
      </c>
    </row>
    <row r="19" spans="1:10" x14ac:dyDescent="0.25">
      <c r="A19" s="2">
        <v>17</v>
      </c>
      <c r="B19" s="2">
        <v>3</v>
      </c>
      <c r="C19" t="s">
        <v>59</v>
      </c>
      <c r="D19" t="s">
        <v>60</v>
      </c>
      <c r="E19" t="s">
        <v>61</v>
      </c>
      <c r="G19" s="2">
        <v>3</v>
      </c>
      <c r="H19" s="2">
        <v>0</v>
      </c>
      <c r="I19">
        <v>2.93</v>
      </c>
      <c r="J19" s="3">
        <v>8.7899999999999991</v>
      </c>
    </row>
    <row r="20" spans="1:10" x14ac:dyDescent="0.25">
      <c r="A20" s="2">
        <v>18</v>
      </c>
      <c r="B20" s="2">
        <v>25</v>
      </c>
      <c r="C20" t="s">
        <v>62</v>
      </c>
      <c r="D20" t="s">
        <v>63</v>
      </c>
      <c r="E20" t="s">
        <v>64</v>
      </c>
      <c r="G20" s="2">
        <v>25</v>
      </c>
      <c r="H20" s="2">
        <v>0</v>
      </c>
      <c r="I20">
        <v>5.5999999999999999E-3</v>
      </c>
      <c r="J20" s="3">
        <v>0.14000000000000001</v>
      </c>
    </row>
    <row r="21" spans="1:10" x14ac:dyDescent="0.25">
      <c r="A21" s="2">
        <v>19</v>
      </c>
      <c r="B21" s="2">
        <v>25</v>
      </c>
      <c r="C21" t="s">
        <v>65</v>
      </c>
      <c r="D21" t="s">
        <v>66</v>
      </c>
      <c r="E21" t="s">
        <v>67</v>
      </c>
      <c r="G21" s="2">
        <v>25</v>
      </c>
      <c r="H21" s="2">
        <v>0</v>
      </c>
      <c r="I21">
        <v>5.5999999999999999E-3</v>
      </c>
      <c r="J21" s="3">
        <v>0.14000000000000001</v>
      </c>
    </row>
    <row r="22" spans="1:10" x14ac:dyDescent="0.25">
      <c r="A22" s="2">
        <v>20</v>
      </c>
      <c r="B22" s="2">
        <v>10</v>
      </c>
      <c r="C22" t="s">
        <v>68</v>
      </c>
      <c r="D22" t="s">
        <v>69</v>
      </c>
      <c r="E22" t="s">
        <v>70</v>
      </c>
      <c r="G22" s="2">
        <v>10</v>
      </c>
      <c r="H22" s="2">
        <v>0</v>
      </c>
      <c r="I22">
        <v>4.2999999999999997E-2</v>
      </c>
      <c r="J22" s="3">
        <v>0.43</v>
      </c>
    </row>
    <row r="23" spans="1:10" x14ac:dyDescent="0.25">
      <c r="A23" s="2">
        <v>21</v>
      </c>
      <c r="B23" s="2">
        <v>2</v>
      </c>
      <c r="C23" t="s">
        <v>71</v>
      </c>
      <c r="D23" t="s">
        <v>72</v>
      </c>
      <c r="E23" t="s">
        <v>73</v>
      </c>
      <c r="G23" s="2">
        <v>2</v>
      </c>
      <c r="H23" s="2">
        <v>0</v>
      </c>
      <c r="I23">
        <v>2.09</v>
      </c>
      <c r="J23" s="3">
        <v>4.18</v>
      </c>
    </row>
    <row r="24" spans="1:10" x14ac:dyDescent="0.25">
      <c r="A24" s="2">
        <v>22</v>
      </c>
      <c r="B24" s="2">
        <v>10</v>
      </c>
      <c r="C24" t="s">
        <v>74</v>
      </c>
      <c r="D24" t="s">
        <v>75</v>
      </c>
      <c r="E24" t="s">
        <v>76</v>
      </c>
      <c r="G24" s="2">
        <v>10</v>
      </c>
      <c r="H24" s="2">
        <v>0</v>
      </c>
      <c r="I24">
        <v>3.2000000000000001E-2</v>
      </c>
      <c r="J24" s="3">
        <v>0.32</v>
      </c>
    </row>
    <row r="25" spans="1:10" x14ac:dyDescent="0.25">
      <c r="A25" s="2">
        <v>23</v>
      </c>
      <c r="B25" s="2">
        <v>10</v>
      </c>
      <c r="C25" t="s">
        <v>77</v>
      </c>
      <c r="D25" t="s">
        <v>78</v>
      </c>
      <c r="E25" t="s">
        <v>79</v>
      </c>
      <c r="G25" s="2">
        <v>10</v>
      </c>
      <c r="H25" s="2">
        <v>0</v>
      </c>
      <c r="I25">
        <v>0.255</v>
      </c>
      <c r="J25" s="3">
        <v>2.5499999999999998</v>
      </c>
    </row>
    <row r="26" spans="1:10" x14ac:dyDescent="0.25">
      <c r="A26" s="2">
        <v>24</v>
      </c>
      <c r="B26" s="2">
        <v>2</v>
      </c>
      <c r="C26" t="s">
        <v>80</v>
      </c>
      <c r="D26" t="s">
        <v>81</v>
      </c>
      <c r="E26" t="s">
        <v>82</v>
      </c>
      <c r="G26" s="2">
        <v>2</v>
      </c>
      <c r="H26" s="2">
        <v>0</v>
      </c>
      <c r="I26">
        <v>0.33</v>
      </c>
      <c r="J26" s="3">
        <v>0.66</v>
      </c>
    </row>
    <row r="27" spans="1:10" x14ac:dyDescent="0.25">
      <c r="A27" s="2">
        <v>25</v>
      </c>
      <c r="B27" s="2">
        <v>2</v>
      </c>
      <c r="C27" t="s">
        <v>83</v>
      </c>
      <c r="D27" t="s">
        <v>84</v>
      </c>
      <c r="E27" t="s">
        <v>85</v>
      </c>
      <c r="G27" s="2">
        <v>2</v>
      </c>
      <c r="H27" s="2">
        <v>0</v>
      </c>
      <c r="I27">
        <v>0.28000000000000003</v>
      </c>
      <c r="J27" s="3">
        <v>0.56000000000000005</v>
      </c>
    </row>
    <row r="28" spans="1:10" x14ac:dyDescent="0.25">
      <c r="A28" s="2">
        <v>26</v>
      </c>
      <c r="B28" s="2">
        <v>1</v>
      </c>
      <c r="C28" t="s">
        <v>86</v>
      </c>
      <c r="D28" t="s">
        <v>87</v>
      </c>
      <c r="E28" t="s">
        <v>88</v>
      </c>
      <c r="G28" s="2">
        <v>1</v>
      </c>
      <c r="H28" s="2">
        <v>0</v>
      </c>
      <c r="I28">
        <v>0.15</v>
      </c>
      <c r="J28" s="3">
        <v>0.15</v>
      </c>
    </row>
    <row r="29" spans="1:10" x14ac:dyDescent="0.25">
      <c r="A29" s="2">
        <v>27</v>
      </c>
      <c r="B29" s="2">
        <v>2</v>
      </c>
      <c r="C29" t="s">
        <v>89</v>
      </c>
      <c r="D29" t="s">
        <v>90</v>
      </c>
      <c r="E29" t="s">
        <v>91</v>
      </c>
      <c r="G29" s="2">
        <v>2</v>
      </c>
      <c r="H29" s="2">
        <v>0</v>
      </c>
      <c r="I29">
        <v>2.2400000000000002</v>
      </c>
      <c r="J29" s="3">
        <v>4.4800000000000004</v>
      </c>
    </row>
    <row r="30" spans="1:10" x14ac:dyDescent="0.25">
      <c r="A30" s="2">
        <v>28</v>
      </c>
      <c r="B30" s="2">
        <v>5</v>
      </c>
      <c r="C30" t="s">
        <v>92</v>
      </c>
      <c r="D30" t="s">
        <v>93</v>
      </c>
      <c r="E30" t="s">
        <v>94</v>
      </c>
      <c r="G30" s="2">
        <v>5</v>
      </c>
      <c r="H30" s="2">
        <v>0</v>
      </c>
      <c r="I30">
        <v>0.156</v>
      </c>
      <c r="J30" s="3">
        <v>0.78</v>
      </c>
    </row>
    <row r="31" spans="1:10" x14ac:dyDescent="0.25">
      <c r="A31" s="2">
        <v>29</v>
      </c>
      <c r="B31" s="2">
        <v>10</v>
      </c>
      <c r="C31" t="s">
        <v>95</v>
      </c>
      <c r="D31" t="s">
        <v>96</v>
      </c>
      <c r="E31" t="s">
        <v>97</v>
      </c>
      <c r="G31" s="2">
        <v>10</v>
      </c>
      <c r="H31" s="2">
        <v>0</v>
      </c>
      <c r="I31">
        <v>0.312</v>
      </c>
      <c r="J31" s="3">
        <v>3.12</v>
      </c>
    </row>
    <row r="32" spans="1:10" x14ac:dyDescent="0.25">
      <c r="A32" s="2">
        <v>30</v>
      </c>
      <c r="B32" s="2">
        <v>10</v>
      </c>
      <c r="C32" t="s">
        <v>98</v>
      </c>
      <c r="D32" t="s">
        <v>99</v>
      </c>
      <c r="E32" t="s">
        <v>100</v>
      </c>
      <c r="G32" s="2">
        <v>10</v>
      </c>
      <c r="H32" s="2">
        <v>0</v>
      </c>
      <c r="I32">
        <v>0.03</v>
      </c>
      <c r="J32" s="3">
        <v>0.3</v>
      </c>
    </row>
    <row r="33" spans="1:10" x14ac:dyDescent="0.25">
      <c r="A33" s="2">
        <v>31</v>
      </c>
      <c r="B33" s="2">
        <v>10</v>
      </c>
      <c r="C33" t="s">
        <v>101</v>
      </c>
      <c r="D33" t="s">
        <v>102</v>
      </c>
      <c r="E33" t="s">
        <v>103</v>
      </c>
      <c r="G33" s="2">
        <v>10</v>
      </c>
      <c r="H33" s="2">
        <v>0</v>
      </c>
      <c r="I33">
        <v>5.6000000000000001E-2</v>
      </c>
      <c r="J33" s="3">
        <v>0.56000000000000005</v>
      </c>
    </row>
    <row r="34" spans="1:10" x14ac:dyDescent="0.25">
      <c r="A34" s="2">
        <v>32</v>
      </c>
      <c r="B34" s="2">
        <v>10</v>
      </c>
      <c r="C34" t="s">
        <v>104</v>
      </c>
      <c r="D34" t="s">
        <v>105</v>
      </c>
      <c r="E34" t="s">
        <v>106</v>
      </c>
      <c r="G34" s="2">
        <v>10</v>
      </c>
      <c r="H34" s="2">
        <v>0</v>
      </c>
      <c r="I34">
        <v>0.16</v>
      </c>
      <c r="J34" s="3">
        <v>1.6</v>
      </c>
    </row>
    <row r="35" spans="1:10" x14ac:dyDescent="0.25">
      <c r="A35" s="2">
        <v>33</v>
      </c>
      <c r="B35" s="2">
        <v>10</v>
      </c>
      <c r="C35" t="s">
        <v>107</v>
      </c>
      <c r="D35" s="2">
        <v>885012007013</v>
      </c>
      <c r="E35" t="s">
        <v>108</v>
      </c>
      <c r="G35" s="2">
        <v>10</v>
      </c>
      <c r="H35" s="2">
        <v>0</v>
      </c>
      <c r="I35">
        <v>5.2999999999999999E-2</v>
      </c>
      <c r="J35" s="3">
        <v>0.53</v>
      </c>
    </row>
    <row r="36" spans="1:10" x14ac:dyDescent="0.25">
      <c r="A36" s="2">
        <v>34</v>
      </c>
      <c r="B36" s="2">
        <v>20</v>
      </c>
      <c r="C36" t="s">
        <v>110</v>
      </c>
      <c r="E36" t="s">
        <v>109</v>
      </c>
      <c r="I36">
        <f>8/44</f>
        <v>0.18181818181818182</v>
      </c>
    </row>
    <row r="37" spans="1:10" x14ac:dyDescent="0.25">
      <c r="A37" s="2">
        <v>35</v>
      </c>
      <c r="B37" s="2">
        <v>20</v>
      </c>
      <c r="C37" s="6" t="s">
        <v>111</v>
      </c>
      <c r="I37">
        <f>7/44</f>
        <v>0.15909090909090909</v>
      </c>
    </row>
    <row r="38" spans="1:10" x14ac:dyDescent="0.25">
      <c r="A38" s="2">
        <v>36</v>
      </c>
      <c r="B38" s="2">
        <v>20</v>
      </c>
      <c r="C38" s="6" t="s">
        <v>112</v>
      </c>
      <c r="I38">
        <f>6/44</f>
        <v>0.13636363636363635</v>
      </c>
    </row>
  </sheetData>
  <mergeCells count="1">
    <mergeCell ref="A1:J1"/>
  </mergeCells>
  <hyperlinks>
    <hyperlink ref="C37" r:id="rId1" display="https://www.direnc.net/1uf-50v-10-603-smd-kondansator" xr:uid="{13BF0FC5-FB06-4BD5-97C9-9E50FEEDA8C8}"/>
    <hyperlink ref="C38" r:id="rId2" display="https://www.direnc.net/100nf50v-805-kilif" xr:uid="{E185F8F2-D672-405A-B2DC-0B619D04E54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alperen sahin</cp:lastModifiedBy>
  <dcterms:modified xsi:type="dcterms:W3CDTF">2026-03-30T20:07:27Z</dcterms:modified>
</cp:coreProperties>
</file>